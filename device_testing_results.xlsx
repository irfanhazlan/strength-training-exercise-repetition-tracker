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cdba5dba197304/Desktop/Y3 S1/IP/"/>
    </mc:Choice>
  </mc:AlternateContent>
  <xr:revisionPtr revIDLastSave="0" documentId="8_{FD331A25-0B7D-474A-9B32-34A26A909CB1}" xr6:coauthVersionLast="47" xr6:coauthVersionMax="47" xr10:uidLastSave="{00000000-0000-0000-0000-000000000000}"/>
  <bookViews>
    <workbookView xWindow="-98" yWindow="-98" windowWidth="21795" windowHeight="12975" activeTab="5" xr2:uid="{C688E31C-0C05-4229-BE66-53BC4157712E}"/>
  </bookViews>
  <sheets>
    <sheet name="Bicep Curl" sheetId="1" r:id="rId1"/>
    <sheet name="Squats" sheetId="5" r:id="rId2"/>
    <sheet name="Shoulder Press" sheetId="2" r:id="rId3"/>
    <sheet name="Bench Press" sheetId="3" r:id="rId4"/>
    <sheet name="Jumping Jacks" sheetId="4" r:id="rId5"/>
    <sheet name="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6" l="1"/>
  <c r="K5" i="6"/>
  <c r="K4" i="6"/>
  <c r="K3" i="6"/>
  <c r="K2" i="6"/>
  <c r="B11" i="6"/>
  <c r="B12" i="6"/>
  <c r="B9" i="6"/>
  <c r="F2" i="6"/>
  <c r="B10" i="6"/>
  <c r="K6" i="4"/>
  <c r="K5" i="4"/>
  <c r="K4" i="4"/>
  <c r="K3" i="4"/>
  <c r="K2" i="4"/>
  <c r="K6" i="3"/>
  <c r="K5" i="3"/>
  <c r="K4" i="3"/>
  <c r="K3" i="3"/>
  <c r="K2" i="3"/>
  <c r="K6" i="2"/>
  <c r="K5" i="2"/>
  <c r="K4" i="2"/>
  <c r="K3" i="2"/>
  <c r="K2" i="2"/>
  <c r="K6" i="5"/>
  <c r="K5" i="5"/>
  <c r="K4" i="5"/>
  <c r="K3" i="5"/>
  <c r="K2" i="5"/>
  <c r="K2" i="1"/>
  <c r="K3" i="1"/>
  <c r="K4" i="1"/>
  <c r="K5" i="1"/>
  <c r="K6" i="1"/>
  <c r="F6" i="6"/>
  <c r="H5" i="5"/>
  <c r="H5" i="2"/>
  <c r="H5" i="3"/>
  <c r="H5" i="4"/>
  <c r="E5" i="6"/>
  <c r="E4" i="6"/>
  <c r="E3" i="6"/>
  <c r="H4" i="5"/>
  <c r="H4" i="4"/>
  <c r="E6" i="6" s="1"/>
  <c r="H4" i="3"/>
  <c r="H4" i="2"/>
  <c r="H4" i="1"/>
  <c r="E2" i="6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D2" i="5"/>
  <c r="E2" i="5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B13" i="6" l="1"/>
  <c r="H2" i="4"/>
  <c r="C6" i="6" s="1"/>
  <c r="H3" i="4"/>
  <c r="D6" i="6" s="1"/>
  <c r="H1" i="4"/>
  <c r="B6" i="6" s="1"/>
  <c r="H3" i="3"/>
  <c r="D5" i="6" s="1"/>
  <c r="H2" i="3"/>
  <c r="C5" i="6" s="1"/>
  <c r="H1" i="3"/>
  <c r="B5" i="6" s="1"/>
  <c r="H3" i="5"/>
  <c r="D3" i="6" s="1"/>
  <c r="H1" i="5"/>
  <c r="B3" i="6" s="1"/>
  <c r="H2" i="5"/>
  <c r="C3" i="6" s="1"/>
  <c r="H2" i="2"/>
  <c r="C4" i="6" s="1"/>
  <c r="H1" i="2"/>
  <c r="B4" i="6" s="1"/>
  <c r="H3" i="2"/>
  <c r="D4" i="6" s="1"/>
  <c r="H2" i="1"/>
  <c r="H3" i="1"/>
  <c r="D2" i="6" s="1"/>
  <c r="H1" i="1"/>
  <c r="B2" i="6" s="1"/>
  <c r="F5" i="6"/>
  <c r="F4" i="6"/>
  <c r="F3" i="6"/>
  <c r="C2" i="6" l="1"/>
  <c r="H5" i="1"/>
</calcChain>
</file>

<file path=xl/sharedStrings.xml><?xml version="1.0" encoding="utf-8"?>
<sst xmlns="http://schemas.openxmlformats.org/spreadsheetml/2006/main" count="80" uniqueCount="29">
  <si>
    <t>Test</t>
  </si>
  <si>
    <t>True Reps</t>
  </si>
  <si>
    <t>Measured Reps</t>
  </si>
  <si>
    <t>Error</t>
  </si>
  <si>
    <t>Absolute Error</t>
  </si>
  <si>
    <t>Mean Error=</t>
  </si>
  <si>
    <t>Mean of Absolute Error =</t>
  </si>
  <si>
    <t>Standard Deviation of Error</t>
  </si>
  <si>
    <t>Standard Deviation of Error =</t>
  </si>
  <si>
    <t>Device Accuracy =</t>
  </si>
  <si>
    <t>Mean of True/Actual Reps =</t>
  </si>
  <si>
    <t>Exercise</t>
  </si>
  <si>
    <t>Mean Error</t>
  </si>
  <si>
    <t>Mean Absolute Error</t>
  </si>
  <si>
    <t>Mean True Reps</t>
  </si>
  <si>
    <t>Accuracy</t>
  </si>
  <si>
    <t>Bicep Curl</t>
  </si>
  <si>
    <t>Squats</t>
  </si>
  <si>
    <t>Shoulder Press</t>
  </si>
  <si>
    <t>Bench Press</t>
  </si>
  <si>
    <t>Jumping Jacks</t>
  </si>
  <si>
    <t xml:space="preserve"> </t>
  </si>
  <si>
    <t>Frequency</t>
  </si>
  <si>
    <t>Total Frequency</t>
  </si>
  <si>
    <t>Overall:</t>
  </si>
  <si>
    <t>Mean Error =</t>
  </si>
  <si>
    <t>Mean Absolute Error =</t>
  </si>
  <si>
    <t>Mean True Reps =</t>
  </si>
  <si>
    <t>Accuracy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</si>
</sst>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Error Frequency</a:t>
            </a:r>
            <a:r>
              <a:rPr lang="en-US" baseline="0"/>
              <a:t> Distribution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Summary!$K$1</c:f>
              <c:strCache>
                <c:ptCount val="1"/>
                <c:pt idx="0">
                  <c:v>Total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Summary!$J$2:$J$6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cat>
          <c:val>
            <c:numRef>
              <c:f>Summary!$K$2:$K$6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79</c:v>
                </c:pt>
                <c:pt idx="3">
                  <c:v>18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3-4CEA-9D3D-849094BE3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913626047"/>
        <c:axId val="1913628447"/>
      </c:barChart>
      <c:catAx>
        <c:axId val="191362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  <a:r>
                  <a:rPr lang="en-US" baseline="0"/>
                  <a:t> in Number of Repetitions Measured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28447"/>
        <c:crosses val="autoZero"/>
        <c:auto val="1"/>
        <c:lblAlgn val="ctr"/>
        <c:lblOffset val="100"/>
        <c:noMultiLvlLbl val="0"/>
      </c:catAx>
      <c:valAx>
        <c:axId val="19136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62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793571</xdr:colOff>
      <xdr:row>9</xdr:row>
      <xdr:rowOff>19692</xdr:rowOff>
    </xdr:from>
    <xdr:to>
      <xdr:col>7</xdr:col>
      <xdr:colOff>565614</xdr:colOff>
      <xdr:row>24</xdr:row>
      <xdr:rowOff>33819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834CE-29A9-4B42-9DE8-9982EFE20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CF53BB-38B7-43E6-B995-AF9845B4C78C}" name="Table110" displayName="Table110" ref="A1:E21" totalsRowShown="0">
  <autoFilter ref="A1:E21" xr:uid="{7BCF53BB-38B7-43E6-B995-AF9845B4C78C}"/>
  <tableColumns count="5">
    <tableColumn id="1" xr3:uid="{4F7C468E-3CE9-451A-A262-9C29F7B80808}" name="Test"/>
    <tableColumn id="3" xr3:uid="{F1CDEB7C-C296-4050-981B-E3B2DB52EE6B}" name="True Reps"/>
    <tableColumn id="4" xr3:uid="{420BD140-5AD3-4957-BA7D-C5048312FF98}" name="Measured Reps"/>
    <tableColumn id="5" xr3:uid="{88BB780A-A9D9-4639-85CE-924CB8AF7186}" name="Error" dataDxfId="14">
      <calculatedColumnFormula>Table110[[#This Row],[Measured Reps]]-Table110[[#This Row],[True Reps]]</calculatedColumnFormula>
    </tableColumn>
    <tableColumn id="6" xr3:uid="{3213AF55-D43B-452C-ADBB-1B25573EA311}" name="Absolute Error" dataDxfId="13">
      <calculatedColumnFormula>ABS(Table110[[#This Row],[Error]])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3C1BE6-565B-4FAC-9637-9A39ACE10122}" name="Table7" displayName="Table7" ref="J1:K6" totalsRowShown="0">
  <autoFilter ref="J1:K6" xr:uid="{1B3C1BE6-565B-4FAC-9637-9A39ACE10122}"/>
  <tableColumns count="2">
    <tableColumn id="1" xr3:uid="{DF0C8809-C6D5-4D40-A597-CDF2CDC1C50A}" name="Error"/>
    <tableColumn id="2" xr3:uid="{C8950F90-A33D-487D-9944-81EBECAAE949}" name="Frequency" dataDxfId="12">
      <calculatedColumnFormula>COUNTIF($D$2:$D$21,J2)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7D9A09-21C2-4113-9C60-2F7AC7422C54}" name="Table1107" displayName="Table1107" ref="A1:E21" totalsRowShown="0">
  <autoFilter ref="A1:E21" xr:uid="{387D9A09-21C2-4113-9C60-2F7AC7422C54}"/>
  <tableColumns count="5">
    <tableColumn id="1" xr3:uid="{03E13176-C388-41F6-91D5-6AC1F43185B5}" name="Test"/>
    <tableColumn id="3" xr3:uid="{7B5354CC-B862-4AE8-BFB9-2C4B9FF7B934}" name="True Reps"/>
    <tableColumn id="4" xr3:uid="{918D0B10-D1DC-442E-9E18-F1267FF5EE43}" name="Measured Reps"/>
    <tableColumn id="5" xr3:uid="{E8C888DE-55BB-4CAC-9790-56DAFF8DC701}" name="Error" dataDxfId="11">
      <calculatedColumnFormula>Table1107[[#This Row],[Measured Reps]]-Table1107[[#This Row],[True Reps]]</calculatedColumnFormula>
    </tableColumn>
    <tableColumn id="6" xr3:uid="{6AB4B5C0-7EE4-4F67-9B6F-9AE7A2E4B7BE}" name="Absolute Error" dataDxfId="10">
      <calculatedColumnFormula>ABS(Table1107[[#This Row],[Error]])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9E4BBA-982A-4141-91E1-5B390DA6122D}" name="Table79" displayName="Table79" ref="J1:K6" totalsRowShown="0">
  <autoFilter ref="J1:K6" xr:uid="{B89E4BBA-982A-4141-91E1-5B390DA6122D}"/>
  <tableColumns count="2">
    <tableColumn id="1" xr3:uid="{D050BA02-417D-49B2-B13A-BE75CB9A29D1}" name="Error"/>
    <tableColumn id="2" xr3:uid="{8FD39337-E36E-4568-ADC1-355B62AF460A}" name="Frequency" dataDxfId="9">
      <calculatedColumnFormula>COUNTIF($D$2:$D$21,J2)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0FC10F-4DD5-4005-B85F-3688E4D6A5E3}" name="Table1104" displayName="Table1104" ref="A1:E21" totalsRowShown="0">
  <autoFilter ref="A1:E21" xr:uid="{BE0FC10F-4DD5-4005-B85F-3688E4D6A5E3}"/>
  <tableColumns count="5">
    <tableColumn id="1" xr3:uid="{B464C0A4-0FE6-4D07-9483-6311F8EE30E5}" name="Test"/>
    <tableColumn id="3" xr3:uid="{8C59F8E3-3D7C-4187-B0BF-99124B3C5EDB}" name="True Reps"/>
    <tableColumn id="4" xr3:uid="{1A50B779-1E1A-4C3B-AD76-6A5A449C39A6}" name="Measured Reps"/>
    <tableColumn id="5" xr3:uid="{4BD5CF22-257C-425C-B727-9AE59BCB2DB2}" name="Error" dataDxfId="8">
      <calculatedColumnFormula>Table1104[[#This Row],[Measured Reps]]-Table1104[[#This Row],[True Reps]]</calculatedColumnFormula>
    </tableColumn>
    <tableColumn id="6" xr3:uid="{7AE60DB8-FCF6-4526-B440-5DD8B4CD7A38}" name="Absolute Error" dataDxfId="7">
      <calculatedColumnFormula>ABS(Table1104[[#This Row],[Error]])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4E6555-CCD0-46F4-945E-BDCFC83D670E}" name="Table710" displayName="Table710" ref="J1:K6" totalsRowShown="0">
  <autoFilter ref="J1:K6" xr:uid="{454E6555-CCD0-46F4-945E-BDCFC83D670E}"/>
  <tableColumns count="2">
    <tableColumn id="1" xr3:uid="{6F3B454E-F503-4EA4-96F9-8238F472E73F}" name="Error"/>
    <tableColumn id="2" xr3:uid="{52F665D4-6497-4D3E-ACC6-996B2DC2011F}" name="Frequency" dataDxfId="6">
      <calculatedColumnFormula>COUNTIF($D$2:$D$21,J2)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72FE96-A23F-46DB-9747-4A612A572703}" name="Table1105" displayName="Table1105" ref="A1:E21" totalsRowShown="0">
  <autoFilter ref="A1:E21" xr:uid="{0972FE96-A23F-46DB-9747-4A612A572703}"/>
  <tableColumns count="5">
    <tableColumn id="1" xr3:uid="{01F21B88-C6A5-4D2C-9CE3-2A58649B816E}" name="Test"/>
    <tableColumn id="3" xr3:uid="{A2CA69DC-D3C0-4BED-BDCF-0A44B7359B6D}" name="True Reps"/>
    <tableColumn id="4" xr3:uid="{3488296D-BABC-4B98-BDF8-FE8ED22BA7E4}" name="Measured Reps"/>
    <tableColumn id="5" xr3:uid="{1446F887-164B-403C-B415-4F08B8DF5D66}" name="Error" dataDxfId="5">
      <calculatedColumnFormula>Table1105[[#This Row],[Measured Reps]]-Table1105[[#This Row],[True Reps]]</calculatedColumnFormula>
    </tableColumn>
    <tableColumn id="6" xr3:uid="{20B28C14-8A2A-4761-B8A0-1C7DB4B2FFF0}" name="Absolute Error" dataDxfId="4">
      <calculatedColumnFormula>ABS(Table1105[[#This Row],[Error]])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7F7B984-2308-4207-AF51-B41215993B3E}" name="Table711" displayName="Table711" ref="J1:K6" totalsRowShown="0">
  <autoFilter ref="J1:K6" xr:uid="{07F7B984-2308-4207-AF51-B41215993B3E}"/>
  <tableColumns count="2">
    <tableColumn id="1" xr3:uid="{1D7D832D-4DD9-484B-A021-48833090AE7F}" name="Error"/>
    <tableColumn id="2" xr3:uid="{6BA9DA0C-88CB-45DB-9E21-671BB3E67D24}" name="Frequency" dataDxfId="3">
      <calculatedColumnFormula>COUNTIF($D$2:$D$21,J2)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48781D-6BB5-4CBC-9B89-A4C731795DE9}" name="Table1106" displayName="Table1106" ref="A1:E21" totalsRowShown="0">
  <autoFilter ref="A1:E21" xr:uid="{D648781D-6BB5-4CBC-9B89-A4C731795DE9}"/>
  <tableColumns count="5">
    <tableColumn id="1" xr3:uid="{26194619-B3E0-4B63-ACF3-C5F89AEEE98A}" name="Test"/>
    <tableColumn id="3" xr3:uid="{28C87FB2-AD8F-4F8D-9DAE-A13F4C6AB9C9}" name="True Reps"/>
    <tableColumn id="4" xr3:uid="{AE9A43B5-783E-4DB8-9EA5-EE537C2907E6}" name="Measured Reps"/>
    <tableColumn id="5" xr3:uid="{54D77128-116F-49E4-9A1F-5AD0EA8E18F1}" name="Error" dataDxfId="2">
      <calculatedColumnFormula>Table1106[[#This Row],[Measured Reps]]-Table1106[[#This Row],[True Reps]]</calculatedColumnFormula>
    </tableColumn>
    <tableColumn id="6" xr3:uid="{4BE29C13-6EBA-43C6-8150-9A6D0E18DAC5}" name="Absolute Error" dataDxfId="1">
      <calculatedColumnFormula>ABS(Table1106[[#This Row],[Error]])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589D86-D4C1-48E1-AE95-39AB3591B3DE}" name="Table712" displayName="Table712" ref="J1:K6" totalsRowShown="0">
  <autoFilter ref="J1:K6" xr:uid="{1D589D86-D4C1-48E1-AE95-39AB3591B3DE}"/>
  <tableColumns count="2">
    <tableColumn id="1" xr3:uid="{25ABE6C9-9738-4DF6-9C56-713B506BB5A3}" name="Error"/>
    <tableColumn id="2" xr3:uid="{CC90707F-9F03-4B69-B81F-6382B1E0C22B}" name="Frequency" dataDxfId="0">
      <calculatedColumnFormula>COUNTIF($D$2:$D$21,J2)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F0DB16-A18B-43C3-9FF4-5E29B1DC218A}" name="Table12" displayName="Table12" ref="J1:K6" totalsRowShown="0">
  <autoFilter ref="J1:K6" xr:uid="{93F0DB16-A18B-43C3-9FF4-5E29B1DC218A}"/>
  <tableColumns count="2">
    <tableColumn id="1" xr3:uid="{3BEB0EB8-3B94-4A11-853C-564ADC8644EB}" name="Error"/>
    <tableColumn id="2" xr3:uid="{B451E41B-1AC1-4D4B-B1C3-9FE8894C9A3B}" name="Total Frequency" dataDxfId="16">
      <calculatedColumnFormula>COUNTIF('Bicep Curl'!D2:D21,J2)+COUNTIF(Squats!D2:D21,J2)+COUNTIF('Shoulder Press'!D2:D21,J2)+COUNTIF('Bench Press'!D2:D21,J2)+COUNTIF('Jumping Jacks'!D2:D21,J2)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9BE95DF-332D-41CD-A0CA-C5982845CEFB}" name="Table13" displayName="Table13" ref="A1:F6" totalsRowShown="0">
  <autoFilter ref="A1:F6" xr:uid="{89BE95DF-332D-41CD-A0CA-C5982845CEFB}"/>
  <tableColumns count="6">
    <tableColumn id="1" xr3:uid="{A8F84232-ECB6-4F5E-BAB0-7FC28FC47F40}" name="Exercise"/>
    <tableColumn id="2" xr3:uid="{34EE1886-6AC2-475F-8050-A1EB4BC4EC0B}" name="Mean Error"/>
    <tableColumn id="3" xr3:uid="{4B67D549-7666-4485-9A13-7D849CC7DE89}" name="Mean Absolute Error"/>
    <tableColumn id="4" xr3:uid="{14E69CBA-5F08-44FD-8B2D-88484EEE3ACF}" name="Standard Deviation of Error"/>
    <tableColumn id="5" xr3:uid="{1D789293-4605-41E6-A930-C07E5CE91779}" name="Mean True Reps"/>
    <tableColumn id="6" xr3:uid="{8E2D7217-200D-42FD-8816-A35B4F4E5B23}" name="Accuracy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2B1F-7CFA-4402-94D2-507C93AB0E95}">
  <dimension ref="A1:K21"/>
  <sheetViews>
    <sheetView zoomScale="73" workbookViewId="0">
      <selection activeCell="H5" sqref="H5"/>
    </sheetView>
  </sheetViews>
  <sheetFormatPr defaultRowHeight="14.25" x14ac:dyDescent="0.45"/>
  <cols>
    <col min="1" max="1" width="15.46484375" customWidth="1"/>
    <col min="2" max="2" width="13.86328125" customWidth="1"/>
    <col min="3" max="3" width="16.73046875" customWidth="1"/>
    <col min="4" max="4" width="12.53125" customWidth="1"/>
    <col min="5" max="5" width="14.73046875" customWidth="1"/>
    <col min="7" max="7" width="23.73046875" customWidth="1"/>
    <col min="10" max="11" width="9.863281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>
        <f>AVERAGE(D2:D21)</f>
        <v>0.05</v>
      </c>
      <c r="J1" t="s">
        <v>3</v>
      </c>
      <c r="K1" t="s">
        <v>22</v>
      </c>
    </row>
    <row r="2" spans="1:11" x14ac:dyDescent="0.45">
      <c r="A2">
        <v>1</v>
      </c>
      <c r="B2">
        <v>15</v>
      </c>
      <c r="C2">
        <v>15</v>
      </c>
      <c r="D2">
        <f>Table110[[#This Row],[Measured Reps]]-Table110[[#This Row],[True Reps]]</f>
        <v>0</v>
      </c>
      <c r="E2">
        <f>ABS(Table110[[#This Row],[Error]])</f>
        <v>0</v>
      </c>
      <c r="G2" t="s">
        <v>6</v>
      </c>
      <c r="H2">
        <f>AVERAGE(E2:E21)</f>
        <v>0.05</v>
      </c>
      <c r="J2">
        <v>-2</v>
      </c>
      <c r="K2">
        <f t="shared" ref="K2:K6" si="0">COUNTIF($D$2:$D$21,J2)</f>
        <v>0</v>
      </c>
    </row>
    <row r="3" spans="1:11" x14ac:dyDescent="0.45">
      <c r="A3">
        <v>2</v>
      </c>
      <c r="B3">
        <v>15</v>
      </c>
      <c r="C3">
        <v>16</v>
      </c>
      <c r="D3">
        <f>Table110[[#This Row],[Measured Reps]]-Table110[[#This Row],[True Reps]]</f>
        <v>1</v>
      </c>
      <c r="E3">
        <f>ABS(Table110[[#This Row],[Error]])</f>
        <v>1</v>
      </c>
      <c r="G3" t="s">
        <v>8</v>
      </c>
      <c r="H3">
        <f>_xlfn.STDEV.S(D2:D21)</f>
        <v>0.22360679774997896</v>
      </c>
      <c r="J3">
        <v>-1</v>
      </c>
      <c r="K3">
        <f t="shared" si="0"/>
        <v>0</v>
      </c>
    </row>
    <row r="4" spans="1:11" x14ac:dyDescent="0.45">
      <c r="A4">
        <v>3</v>
      </c>
      <c r="B4">
        <v>15</v>
      </c>
      <c r="C4">
        <v>15</v>
      </c>
      <c r="D4">
        <f>Table110[[#This Row],[Measured Reps]]-Table110[[#This Row],[True Reps]]</f>
        <v>0</v>
      </c>
      <c r="E4">
        <f>ABS(Table110[[#This Row],[Error]])</f>
        <v>0</v>
      </c>
      <c r="G4" t="s">
        <v>10</v>
      </c>
      <c r="H4">
        <f>AVERAGE(B2:B21)</f>
        <v>10.199999999999999</v>
      </c>
      <c r="J4">
        <v>0</v>
      </c>
      <c r="K4">
        <f t="shared" si="0"/>
        <v>19</v>
      </c>
    </row>
    <row r="5" spans="1:11" x14ac:dyDescent="0.45">
      <c r="A5">
        <v>4</v>
      </c>
      <c r="B5">
        <v>15</v>
      </c>
      <c r="C5">
        <v>15</v>
      </c>
      <c r="D5">
        <f>Table110[[#This Row],[Measured Reps]]-Table110[[#This Row],[True Reps]]</f>
        <v>0</v>
      </c>
      <c r="E5">
        <f>ABS(Table110[[#This Row],[Error]])</f>
        <v>0</v>
      </c>
      <c r="G5" t="s">
        <v>9</v>
      </c>
      <c r="H5" s="2">
        <f>1-(H2/H4)</f>
        <v>0.99509803921568629</v>
      </c>
      <c r="J5">
        <v>1</v>
      </c>
      <c r="K5">
        <f t="shared" si="0"/>
        <v>1</v>
      </c>
    </row>
    <row r="6" spans="1:11" x14ac:dyDescent="0.45">
      <c r="A6">
        <v>5</v>
      </c>
      <c r="B6">
        <v>12</v>
      </c>
      <c r="C6">
        <v>12</v>
      </c>
      <c r="D6">
        <f>Table110[[#This Row],[Measured Reps]]-Table110[[#This Row],[True Reps]]</f>
        <v>0</v>
      </c>
      <c r="E6">
        <f>ABS(Table110[[#This Row],[Error]])</f>
        <v>0</v>
      </c>
      <c r="J6">
        <v>2</v>
      </c>
      <c r="K6">
        <f t="shared" si="0"/>
        <v>0</v>
      </c>
    </row>
    <row r="7" spans="1:11" x14ac:dyDescent="0.45">
      <c r="A7">
        <v>6</v>
      </c>
      <c r="B7">
        <v>12</v>
      </c>
      <c r="C7">
        <v>12</v>
      </c>
      <c r="D7">
        <f>Table110[[#This Row],[Measured Reps]]-Table110[[#This Row],[True Reps]]</f>
        <v>0</v>
      </c>
      <c r="E7">
        <f>ABS(Table110[[#This Row],[Error]])</f>
        <v>0</v>
      </c>
    </row>
    <row r="8" spans="1:11" x14ac:dyDescent="0.45">
      <c r="A8">
        <v>7</v>
      </c>
      <c r="B8">
        <v>12</v>
      </c>
      <c r="C8">
        <v>12</v>
      </c>
      <c r="D8">
        <f>Table110[[#This Row],[Measured Reps]]-Table110[[#This Row],[True Reps]]</f>
        <v>0</v>
      </c>
      <c r="E8">
        <f>ABS(Table110[[#This Row],[Error]])</f>
        <v>0</v>
      </c>
    </row>
    <row r="9" spans="1:11" x14ac:dyDescent="0.45">
      <c r="A9">
        <v>8</v>
      </c>
      <c r="B9">
        <v>12</v>
      </c>
      <c r="C9">
        <v>12</v>
      </c>
      <c r="D9">
        <f>Table110[[#This Row],[Measured Reps]]-Table110[[#This Row],[True Reps]]</f>
        <v>0</v>
      </c>
      <c r="E9">
        <f>ABS(Table110[[#This Row],[Error]])</f>
        <v>0</v>
      </c>
    </row>
    <row r="10" spans="1:11" x14ac:dyDescent="0.45">
      <c r="A10">
        <v>9</v>
      </c>
      <c r="B10">
        <v>10</v>
      </c>
      <c r="C10">
        <v>10</v>
      </c>
      <c r="D10">
        <f>Table110[[#This Row],[Measured Reps]]-Table110[[#This Row],[True Reps]]</f>
        <v>0</v>
      </c>
      <c r="E10">
        <f>ABS(Table110[[#This Row],[Error]])</f>
        <v>0</v>
      </c>
    </row>
    <row r="11" spans="1:11" x14ac:dyDescent="0.45">
      <c r="A11">
        <v>10</v>
      </c>
      <c r="B11">
        <v>10</v>
      </c>
      <c r="C11">
        <v>10</v>
      </c>
      <c r="D11">
        <f>Table110[[#This Row],[Measured Reps]]-Table110[[#This Row],[True Reps]]</f>
        <v>0</v>
      </c>
      <c r="E11">
        <f>ABS(Table110[[#This Row],[Error]])</f>
        <v>0</v>
      </c>
    </row>
    <row r="12" spans="1:11" x14ac:dyDescent="0.45">
      <c r="A12">
        <v>11</v>
      </c>
      <c r="B12">
        <v>10</v>
      </c>
      <c r="C12">
        <v>10</v>
      </c>
      <c r="D12">
        <f>Table110[[#This Row],[Measured Reps]]-Table110[[#This Row],[True Reps]]</f>
        <v>0</v>
      </c>
      <c r="E12">
        <f>ABS(Table110[[#This Row],[Error]])</f>
        <v>0</v>
      </c>
    </row>
    <row r="13" spans="1:11" x14ac:dyDescent="0.45">
      <c r="A13">
        <v>12</v>
      </c>
      <c r="B13">
        <v>10</v>
      </c>
      <c r="C13">
        <v>10</v>
      </c>
      <c r="D13">
        <f>Table110[[#This Row],[Measured Reps]]-Table110[[#This Row],[True Reps]]</f>
        <v>0</v>
      </c>
      <c r="E13">
        <f>ABS(Table110[[#This Row],[Error]])</f>
        <v>0</v>
      </c>
    </row>
    <row r="14" spans="1:11" x14ac:dyDescent="0.45">
      <c r="A14">
        <v>13</v>
      </c>
      <c r="B14">
        <v>8</v>
      </c>
      <c r="C14">
        <v>8</v>
      </c>
      <c r="D14">
        <f>Table110[[#This Row],[Measured Reps]]-Table110[[#This Row],[True Reps]]</f>
        <v>0</v>
      </c>
      <c r="E14">
        <f>ABS(Table110[[#This Row],[Error]])</f>
        <v>0</v>
      </c>
    </row>
    <row r="15" spans="1:11" x14ac:dyDescent="0.45">
      <c r="A15">
        <v>14</v>
      </c>
      <c r="B15">
        <v>8</v>
      </c>
      <c r="C15">
        <v>8</v>
      </c>
      <c r="D15">
        <f>Table110[[#This Row],[Measured Reps]]-Table110[[#This Row],[True Reps]]</f>
        <v>0</v>
      </c>
      <c r="E15">
        <f>ABS(Table110[[#This Row],[Error]])</f>
        <v>0</v>
      </c>
    </row>
    <row r="16" spans="1:11" x14ac:dyDescent="0.45">
      <c r="A16">
        <v>15</v>
      </c>
      <c r="B16">
        <v>8</v>
      </c>
      <c r="C16">
        <v>8</v>
      </c>
      <c r="D16">
        <f>Table110[[#This Row],[Measured Reps]]-Table110[[#This Row],[True Reps]]</f>
        <v>0</v>
      </c>
      <c r="E16">
        <f>ABS(Table110[[#This Row],[Error]])</f>
        <v>0</v>
      </c>
    </row>
    <row r="17" spans="1:5" x14ac:dyDescent="0.45">
      <c r="A17">
        <v>16</v>
      </c>
      <c r="B17">
        <v>8</v>
      </c>
      <c r="C17">
        <v>8</v>
      </c>
      <c r="D17">
        <f>Table110[[#This Row],[Measured Reps]]-Table110[[#This Row],[True Reps]]</f>
        <v>0</v>
      </c>
      <c r="E17">
        <f>ABS(Table110[[#This Row],[Error]])</f>
        <v>0</v>
      </c>
    </row>
    <row r="18" spans="1:5" x14ac:dyDescent="0.45">
      <c r="A18">
        <v>17</v>
      </c>
      <c r="B18">
        <v>6</v>
      </c>
      <c r="C18">
        <v>6</v>
      </c>
      <c r="D18">
        <f>Table110[[#This Row],[Measured Reps]]-Table110[[#This Row],[True Reps]]</f>
        <v>0</v>
      </c>
      <c r="E18">
        <f>ABS(Table110[[#This Row],[Error]])</f>
        <v>0</v>
      </c>
    </row>
    <row r="19" spans="1:5" x14ac:dyDescent="0.45">
      <c r="A19">
        <v>18</v>
      </c>
      <c r="B19">
        <v>6</v>
      </c>
      <c r="C19">
        <v>6</v>
      </c>
      <c r="D19">
        <f>Table110[[#This Row],[Measured Reps]]-Table110[[#This Row],[True Reps]]</f>
        <v>0</v>
      </c>
      <c r="E19">
        <f>ABS(Table110[[#This Row],[Error]])</f>
        <v>0</v>
      </c>
    </row>
    <row r="20" spans="1:5" x14ac:dyDescent="0.45">
      <c r="A20">
        <v>19</v>
      </c>
      <c r="B20">
        <v>6</v>
      </c>
      <c r="C20">
        <v>6</v>
      </c>
      <c r="D20">
        <f>Table110[[#This Row],[Measured Reps]]-Table110[[#This Row],[True Reps]]</f>
        <v>0</v>
      </c>
      <c r="E20">
        <f>ABS(Table110[[#This Row],[Error]])</f>
        <v>0</v>
      </c>
    </row>
    <row r="21" spans="1:5" x14ac:dyDescent="0.45">
      <c r="A21">
        <v>20</v>
      </c>
      <c r="B21">
        <v>6</v>
      </c>
      <c r="C21">
        <v>6</v>
      </c>
      <c r="D21">
        <f>Table110[[#This Row],[Measured Reps]]-Table110[[#This Row],[True Reps]]</f>
        <v>0</v>
      </c>
      <c r="E21">
        <f>ABS(Table110[[#This Row],[Error]])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140E-D92A-4077-872E-F2099322F809}">
  <dimension ref="A1:K21"/>
  <sheetViews>
    <sheetView workbookViewId="0">
      <selection activeCell="H5" sqref="H5"/>
    </sheetView>
  </sheetViews>
  <sheetFormatPr defaultRowHeight="14.25" x14ac:dyDescent="0.45"/>
  <cols>
    <col min="1" max="1" width="15.6640625" customWidth="1"/>
    <col min="2" max="2" width="16.6640625" customWidth="1"/>
    <col min="3" max="3" width="14.73046875" customWidth="1"/>
    <col min="4" max="4" width="14.06640625" customWidth="1"/>
    <col min="5" max="5" width="15.53125" customWidth="1"/>
    <col min="7" max="7" width="22.6640625" customWidth="1"/>
    <col min="8" max="8" width="13.13281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>
        <f>AVERAGE(D2:D21)</f>
        <v>0.05</v>
      </c>
      <c r="J1" t="s">
        <v>3</v>
      </c>
      <c r="K1" t="s">
        <v>22</v>
      </c>
    </row>
    <row r="2" spans="1:11" x14ac:dyDescent="0.45">
      <c r="A2">
        <v>1</v>
      </c>
      <c r="B2">
        <v>15</v>
      </c>
      <c r="C2">
        <v>15</v>
      </c>
      <c r="D2">
        <f>Table1107[[#This Row],[Measured Reps]]-Table1107[[#This Row],[True Reps]]</f>
        <v>0</v>
      </c>
      <c r="E2">
        <f>ABS(Table1107[[#This Row],[Error]])</f>
        <v>0</v>
      </c>
      <c r="G2" t="s">
        <v>6</v>
      </c>
      <c r="H2">
        <f>AVERAGE(E2:E21)</f>
        <v>0.05</v>
      </c>
      <c r="J2">
        <v>-2</v>
      </c>
      <c r="K2">
        <f t="shared" ref="K2:K6" si="0">COUNTIF($D$2:$D$21,J2)</f>
        <v>0</v>
      </c>
    </row>
    <row r="3" spans="1:11" x14ac:dyDescent="0.45">
      <c r="A3">
        <v>2</v>
      </c>
      <c r="B3">
        <v>15</v>
      </c>
      <c r="C3">
        <v>15</v>
      </c>
      <c r="D3">
        <f>Table1107[[#This Row],[Measured Reps]]-Table1107[[#This Row],[True Reps]]</f>
        <v>0</v>
      </c>
      <c r="E3">
        <f>ABS(Table1107[[#This Row],[Error]])</f>
        <v>0</v>
      </c>
      <c r="G3" t="s">
        <v>8</v>
      </c>
      <c r="H3">
        <f>_xlfn.STDEV.S(D2:D21)</f>
        <v>0.22360679774997896</v>
      </c>
      <c r="J3">
        <v>-1</v>
      </c>
      <c r="K3">
        <f t="shared" si="0"/>
        <v>0</v>
      </c>
    </row>
    <row r="4" spans="1:11" x14ac:dyDescent="0.45">
      <c r="A4">
        <v>3</v>
      </c>
      <c r="B4">
        <v>15</v>
      </c>
      <c r="C4">
        <v>15</v>
      </c>
      <c r="D4">
        <f>Table1107[[#This Row],[Measured Reps]]-Table1107[[#This Row],[True Reps]]</f>
        <v>0</v>
      </c>
      <c r="E4">
        <f>ABS(Table1107[[#This Row],[Error]])</f>
        <v>0</v>
      </c>
      <c r="G4" t="s">
        <v>10</v>
      </c>
      <c r="H4">
        <f>AVERAGE(B2:B21)</f>
        <v>10.199999999999999</v>
      </c>
      <c r="J4">
        <v>0</v>
      </c>
      <c r="K4">
        <f t="shared" si="0"/>
        <v>19</v>
      </c>
    </row>
    <row r="5" spans="1:11" x14ac:dyDescent="0.45">
      <c r="A5">
        <v>4</v>
      </c>
      <c r="B5">
        <v>15</v>
      </c>
      <c r="C5">
        <v>15</v>
      </c>
      <c r="D5">
        <f>Table1107[[#This Row],[Measured Reps]]-Table1107[[#This Row],[True Reps]]</f>
        <v>0</v>
      </c>
      <c r="E5">
        <f>ABS(Table1107[[#This Row],[Error]])</f>
        <v>0</v>
      </c>
      <c r="G5" t="s">
        <v>9</v>
      </c>
      <c r="H5" s="2">
        <f>1-(H2/H4)</f>
        <v>0.99509803921568629</v>
      </c>
      <c r="J5">
        <v>1</v>
      </c>
      <c r="K5">
        <f t="shared" si="0"/>
        <v>1</v>
      </c>
    </row>
    <row r="6" spans="1:11" x14ac:dyDescent="0.45">
      <c r="A6">
        <v>5</v>
      </c>
      <c r="B6">
        <v>12</v>
      </c>
      <c r="C6">
        <v>12</v>
      </c>
      <c r="D6">
        <f>Table1107[[#This Row],[Measured Reps]]-Table1107[[#This Row],[True Reps]]</f>
        <v>0</v>
      </c>
      <c r="E6">
        <f>ABS(Table1107[[#This Row],[Error]])</f>
        <v>0</v>
      </c>
      <c r="J6">
        <v>2</v>
      </c>
      <c r="K6">
        <f t="shared" si="0"/>
        <v>0</v>
      </c>
    </row>
    <row r="7" spans="1:11" x14ac:dyDescent="0.45">
      <c r="A7">
        <v>6</v>
      </c>
      <c r="B7">
        <v>12</v>
      </c>
      <c r="C7">
        <v>12</v>
      </c>
      <c r="D7">
        <f>Table1107[[#This Row],[Measured Reps]]-Table1107[[#This Row],[True Reps]]</f>
        <v>0</v>
      </c>
      <c r="E7">
        <f>ABS(Table1107[[#This Row],[Error]])</f>
        <v>0</v>
      </c>
    </row>
    <row r="8" spans="1:11" x14ac:dyDescent="0.45">
      <c r="A8">
        <v>7</v>
      </c>
      <c r="B8">
        <v>12</v>
      </c>
      <c r="C8">
        <v>12</v>
      </c>
      <c r="D8">
        <f>Table1107[[#This Row],[Measured Reps]]-Table1107[[#This Row],[True Reps]]</f>
        <v>0</v>
      </c>
      <c r="E8">
        <f>ABS(Table1107[[#This Row],[Error]])</f>
        <v>0</v>
      </c>
    </row>
    <row r="9" spans="1:11" x14ac:dyDescent="0.45">
      <c r="A9">
        <v>8</v>
      </c>
      <c r="B9">
        <v>12</v>
      </c>
      <c r="C9">
        <v>12</v>
      </c>
      <c r="D9">
        <f>Table1107[[#This Row],[Measured Reps]]-Table1107[[#This Row],[True Reps]]</f>
        <v>0</v>
      </c>
      <c r="E9">
        <f>ABS(Table1107[[#This Row],[Error]])</f>
        <v>0</v>
      </c>
    </row>
    <row r="10" spans="1:11" x14ac:dyDescent="0.45">
      <c r="A10">
        <v>9</v>
      </c>
      <c r="B10">
        <v>10</v>
      </c>
      <c r="C10">
        <v>10</v>
      </c>
      <c r="D10">
        <f>Table1107[[#This Row],[Measured Reps]]-Table1107[[#This Row],[True Reps]]</f>
        <v>0</v>
      </c>
      <c r="E10">
        <f>ABS(Table1107[[#This Row],[Error]])</f>
        <v>0</v>
      </c>
    </row>
    <row r="11" spans="1:11" x14ac:dyDescent="0.45">
      <c r="A11">
        <v>10</v>
      </c>
      <c r="B11">
        <v>10</v>
      </c>
      <c r="C11">
        <v>10</v>
      </c>
      <c r="D11">
        <f>Table1107[[#This Row],[Measured Reps]]-Table1107[[#This Row],[True Reps]]</f>
        <v>0</v>
      </c>
      <c r="E11">
        <f>ABS(Table1107[[#This Row],[Error]])</f>
        <v>0</v>
      </c>
    </row>
    <row r="12" spans="1:11" x14ac:dyDescent="0.45">
      <c r="A12">
        <v>11</v>
      </c>
      <c r="B12">
        <v>10</v>
      </c>
      <c r="C12">
        <v>10</v>
      </c>
      <c r="D12">
        <f>Table1107[[#This Row],[Measured Reps]]-Table1107[[#This Row],[True Reps]]</f>
        <v>0</v>
      </c>
      <c r="E12">
        <f>ABS(Table1107[[#This Row],[Error]])</f>
        <v>0</v>
      </c>
    </row>
    <row r="13" spans="1:11" x14ac:dyDescent="0.45">
      <c r="A13">
        <v>12</v>
      </c>
      <c r="B13">
        <v>10</v>
      </c>
      <c r="C13">
        <v>10</v>
      </c>
      <c r="D13">
        <f>Table1107[[#This Row],[Measured Reps]]-Table1107[[#This Row],[True Reps]]</f>
        <v>0</v>
      </c>
      <c r="E13">
        <f>ABS(Table1107[[#This Row],[Error]])</f>
        <v>0</v>
      </c>
    </row>
    <row r="14" spans="1:11" x14ac:dyDescent="0.45">
      <c r="A14">
        <v>13</v>
      </c>
      <c r="B14">
        <v>8</v>
      </c>
      <c r="C14">
        <v>8</v>
      </c>
      <c r="D14">
        <f>Table1107[[#This Row],[Measured Reps]]-Table1107[[#This Row],[True Reps]]</f>
        <v>0</v>
      </c>
      <c r="E14">
        <f>ABS(Table1107[[#This Row],[Error]])</f>
        <v>0</v>
      </c>
    </row>
    <row r="15" spans="1:11" x14ac:dyDescent="0.45">
      <c r="A15">
        <v>14</v>
      </c>
      <c r="B15">
        <v>8</v>
      </c>
      <c r="C15">
        <v>8</v>
      </c>
      <c r="D15">
        <f>Table1107[[#This Row],[Measured Reps]]-Table1107[[#This Row],[True Reps]]</f>
        <v>0</v>
      </c>
      <c r="E15">
        <f>ABS(Table1107[[#This Row],[Error]])</f>
        <v>0</v>
      </c>
    </row>
    <row r="16" spans="1:11" x14ac:dyDescent="0.45">
      <c r="A16">
        <v>15</v>
      </c>
      <c r="B16">
        <v>8</v>
      </c>
      <c r="C16">
        <v>8</v>
      </c>
      <c r="D16">
        <f>Table1107[[#This Row],[Measured Reps]]-Table1107[[#This Row],[True Reps]]</f>
        <v>0</v>
      </c>
      <c r="E16">
        <f>ABS(Table1107[[#This Row],[Error]])</f>
        <v>0</v>
      </c>
    </row>
    <row r="17" spans="1:5" x14ac:dyDescent="0.45">
      <c r="A17">
        <v>16</v>
      </c>
      <c r="B17">
        <v>8</v>
      </c>
      <c r="C17">
        <v>9</v>
      </c>
      <c r="D17">
        <f>Table1107[[#This Row],[Measured Reps]]-Table1107[[#This Row],[True Reps]]</f>
        <v>1</v>
      </c>
      <c r="E17">
        <f>ABS(Table1107[[#This Row],[Error]])</f>
        <v>1</v>
      </c>
    </row>
    <row r="18" spans="1:5" x14ac:dyDescent="0.45">
      <c r="A18">
        <v>17</v>
      </c>
      <c r="B18">
        <v>6</v>
      </c>
      <c r="C18">
        <v>6</v>
      </c>
      <c r="D18">
        <f>Table1107[[#This Row],[Measured Reps]]-Table1107[[#This Row],[True Reps]]</f>
        <v>0</v>
      </c>
      <c r="E18">
        <f>ABS(Table1107[[#This Row],[Error]])</f>
        <v>0</v>
      </c>
    </row>
    <row r="19" spans="1:5" x14ac:dyDescent="0.45">
      <c r="A19">
        <v>18</v>
      </c>
      <c r="B19">
        <v>6</v>
      </c>
      <c r="C19">
        <v>6</v>
      </c>
      <c r="D19">
        <f>Table1107[[#This Row],[Measured Reps]]-Table1107[[#This Row],[True Reps]]</f>
        <v>0</v>
      </c>
      <c r="E19">
        <f>ABS(Table1107[[#This Row],[Error]])</f>
        <v>0</v>
      </c>
    </row>
    <row r="20" spans="1:5" x14ac:dyDescent="0.45">
      <c r="A20">
        <v>19</v>
      </c>
      <c r="B20">
        <v>6</v>
      </c>
      <c r="C20">
        <v>6</v>
      </c>
      <c r="D20">
        <f>Table1107[[#This Row],[Measured Reps]]-Table1107[[#This Row],[True Reps]]</f>
        <v>0</v>
      </c>
      <c r="E20">
        <f>ABS(Table1107[[#This Row],[Error]])</f>
        <v>0</v>
      </c>
    </row>
    <row r="21" spans="1:5" x14ac:dyDescent="0.45">
      <c r="A21">
        <v>20</v>
      </c>
      <c r="B21">
        <v>6</v>
      </c>
      <c r="C21">
        <v>6</v>
      </c>
      <c r="D21">
        <f>Table1107[[#This Row],[Measured Reps]]-Table1107[[#This Row],[True Reps]]</f>
        <v>0</v>
      </c>
      <c r="E21">
        <f>ABS(Table1107[[#This Row],[Error]])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6400-5006-4693-B70C-5AE8B5449F6B}">
  <dimension ref="A1:K21"/>
  <sheetViews>
    <sheetView workbookViewId="0">
      <selection activeCell="H5" sqref="H5"/>
    </sheetView>
  </sheetViews>
  <sheetFormatPr defaultRowHeight="14.25" x14ac:dyDescent="0.45"/>
  <cols>
    <col min="2" max="2" width="18.9296875" customWidth="1"/>
    <col min="3" max="3" width="18.46484375" customWidth="1"/>
    <col min="4" max="4" width="12.73046875" customWidth="1"/>
    <col min="5" max="5" width="17.3984375" customWidth="1"/>
    <col min="7" max="7" width="30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>
        <f>AVERAGE(D2:D21)</f>
        <v>0.2</v>
      </c>
      <c r="J1" t="s">
        <v>3</v>
      </c>
      <c r="K1" t="s">
        <v>22</v>
      </c>
    </row>
    <row r="2" spans="1:11" x14ac:dyDescent="0.45">
      <c r="A2">
        <v>1</v>
      </c>
      <c r="B2">
        <v>15</v>
      </c>
      <c r="C2">
        <v>15</v>
      </c>
      <c r="D2">
        <f>Table1104[[#This Row],[Measured Reps]]-Table1104[[#This Row],[True Reps]]</f>
        <v>0</v>
      </c>
      <c r="E2">
        <f>ABS(Table1104[[#This Row],[Error]])</f>
        <v>0</v>
      </c>
      <c r="G2" t="s">
        <v>6</v>
      </c>
      <c r="H2">
        <f>AVERAGE(E2:E21)</f>
        <v>0.2</v>
      </c>
      <c r="J2">
        <v>-2</v>
      </c>
      <c r="K2">
        <f t="shared" ref="K2:K6" si="0">COUNTIF($D$2:$D$21,J2)</f>
        <v>0</v>
      </c>
    </row>
    <row r="3" spans="1:11" x14ac:dyDescent="0.45">
      <c r="A3">
        <v>2</v>
      </c>
      <c r="B3">
        <v>15</v>
      </c>
      <c r="C3">
        <v>15</v>
      </c>
      <c r="D3">
        <f>Table1104[[#This Row],[Measured Reps]]-Table1104[[#This Row],[True Reps]]</f>
        <v>0</v>
      </c>
      <c r="E3">
        <f>ABS(Table1104[[#This Row],[Error]])</f>
        <v>0</v>
      </c>
      <c r="G3" t="s">
        <v>8</v>
      </c>
      <c r="H3">
        <f>_xlfn.STDEV.S(D2:D21)</f>
        <v>0.41039134083406165</v>
      </c>
      <c r="J3">
        <v>-1</v>
      </c>
      <c r="K3">
        <f t="shared" si="0"/>
        <v>0</v>
      </c>
    </row>
    <row r="4" spans="1:11" x14ac:dyDescent="0.45">
      <c r="A4">
        <v>3</v>
      </c>
      <c r="B4">
        <v>15</v>
      </c>
      <c r="C4">
        <v>15</v>
      </c>
      <c r="D4">
        <f>Table1104[[#This Row],[Measured Reps]]-Table1104[[#This Row],[True Reps]]</f>
        <v>0</v>
      </c>
      <c r="E4">
        <f>ABS(Table1104[[#This Row],[Error]])</f>
        <v>0</v>
      </c>
      <c r="G4" t="s">
        <v>10</v>
      </c>
      <c r="H4">
        <f>AVERAGE(B2:B21)</f>
        <v>10.199999999999999</v>
      </c>
      <c r="J4">
        <v>0</v>
      </c>
      <c r="K4">
        <f t="shared" si="0"/>
        <v>16</v>
      </c>
    </row>
    <row r="5" spans="1:11" x14ac:dyDescent="0.45">
      <c r="A5">
        <v>4</v>
      </c>
      <c r="B5">
        <v>15</v>
      </c>
      <c r="C5">
        <v>15</v>
      </c>
      <c r="D5">
        <f>Table1104[[#This Row],[Measured Reps]]-Table1104[[#This Row],[True Reps]]</f>
        <v>0</v>
      </c>
      <c r="E5">
        <f>ABS(Table1104[[#This Row],[Error]])</f>
        <v>0</v>
      </c>
      <c r="G5" t="s">
        <v>9</v>
      </c>
      <c r="H5" s="2">
        <f>1-(H2/H4)</f>
        <v>0.98039215686274506</v>
      </c>
      <c r="J5">
        <v>1</v>
      </c>
      <c r="K5">
        <f t="shared" si="0"/>
        <v>4</v>
      </c>
    </row>
    <row r="6" spans="1:11" x14ac:dyDescent="0.45">
      <c r="A6">
        <v>5</v>
      </c>
      <c r="B6">
        <v>12</v>
      </c>
      <c r="C6">
        <v>12</v>
      </c>
      <c r="D6">
        <f>Table1104[[#This Row],[Measured Reps]]-Table1104[[#This Row],[True Reps]]</f>
        <v>0</v>
      </c>
      <c r="E6">
        <f>ABS(Table1104[[#This Row],[Error]])</f>
        <v>0</v>
      </c>
      <c r="J6">
        <v>2</v>
      </c>
      <c r="K6">
        <f t="shared" si="0"/>
        <v>0</v>
      </c>
    </row>
    <row r="7" spans="1:11" x14ac:dyDescent="0.45">
      <c r="A7">
        <v>6</v>
      </c>
      <c r="B7">
        <v>12</v>
      </c>
      <c r="C7">
        <v>12</v>
      </c>
      <c r="D7">
        <f>Table1104[[#This Row],[Measured Reps]]-Table1104[[#This Row],[True Reps]]</f>
        <v>0</v>
      </c>
      <c r="E7">
        <f>ABS(Table1104[[#This Row],[Error]])</f>
        <v>0</v>
      </c>
    </row>
    <row r="8" spans="1:11" x14ac:dyDescent="0.45">
      <c r="A8">
        <v>7</v>
      </c>
      <c r="B8">
        <v>12</v>
      </c>
      <c r="C8">
        <v>12</v>
      </c>
      <c r="D8">
        <f>Table1104[[#This Row],[Measured Reps]]-Table1104[[#This Row],[True Reps]]</f>
        <v>0</v>
      </c>
      <c r="E8">
        <f>ABS(Table1104[[#This Row],[Error]])</f>
        <v>0</v>
      </c>
    </row>
    <row r="9" spans="1:11" x14ac:dyDescent="0.45">
      <c r="A9">
        <v>8</v>
      </c>
      <c r="B9">
        <v>12</v>
      </c>
      <c r="C9">
        <v>13</v>
      </c>
      <c r="D9">
        <f>Table1104[[#This Row],[Measured Reps]]-Table1104[[#This Row],[True Reps]]</f>
        <v>1</v>
      </c>
      <c r="E9">
        <f>ABS(Table1104[[#This Row],[Error]])</f>
        <v>1</v>
      </c>
    </row>
    <row r="10" spans="1:11" x14ac:dyDescent="0.45">
      <c r="A10">
        <v>9</v>
      </c>
      <c r="B10">
        <v>10</v>
      </c>
      <c r="C10">
        <v>10</v>
      </c>
      <c r="D10">
        <f>Table1104[[#This Row],[Measured Reps]]-Table1104[[#This Row],[True Reps]]</f>
        <v>0</v>
      </c>
      <c r="E10">
        <f>ABS(Table1104[[#This Row],[Error]])</f>
        <v>0</v>
      </c>
    </row>
    <row r="11" spans="1:11" x14ac:dyDescent="0.45">
      <c r="A11">
        <v>10</v>
      </c>
      <c r="B11">
        <v>10</v>
      </c>
      <c r="C11">
        <v>10</v>
      </c>
      <c r="D11">
        <f>Table1104[[#This Row],[Measured Reps]]-Table1104[[#This Row],[True Reps]]</f>
        <v>0</v>
      </c>
      <c r="E11">
        <f>ABS(Table1104[[#This Row],[Error]])</f>
        <v>0</v>
      </c>
    </row>
    <row r="12" spans="1:11" x14ac:dyDescent="0.45">
      <c r="A12">
        <v>11</v>
      </c>
      <c r="B12">
        <v>10</v>
      </c>
      <c r="C12">
        <v>10</v>
      </c>
      <c r="D12">
        <f>Table1104[[#This Row],[Measured Reps]]-Table1104[[#This Row],[True Reps]]</f>
        <v>0</v>
      </c>
      <c r="E12">
        <f>ABS(Table1104[[#This Row],[Error]])</f>
        <v>0</v>
      </c>
    </row>
    <row r="13" spans="1:11" x14ac:dyDescent="0.45">
      <c r="A13">
        <v>12</v>
      </c>
      <c r="B13">
        <v>10</v>
      </c>
      <c r="C13">
        <v>10</v>
      </c>
      <c r="D13">
        <f>Table1104[[#This Row],[Measured Reps]]-Table1104[[#This Row],[True Reps]]</f>
        <v>0</v>
      </c>
      <c r="E13">
        <f>ABS(Table1104[[#This Row],[Error]])</f>
        <v>0</v>
      </c>
    </row>
    <row r="14" spans="1:11" x14ac:dyDescent="0.45">
      <c r="A14">
        <v>13</v>
      </c>
      <c r="B14">
        <v>8</v>
      </c>
      <c r="C14">
        <v>9</v>
      </c>
      <c r="D14">
        <f>Table1104[[#This Row],[Measured Reps]]-Table1104[[#This Row],[True Reps]]</f>
        <v>1</v>
      </c>
      <c r="E14">
        <f>ABS(Table1104[[#This Row],[Error]])</f>
        <v>1</v>
      </c>
    </row>
    <row r="15" spans="1:11" x14ac:dyDescent="0.45">
      <c r="A15">
        <v>14</v>
      </c>
      <c r="B15">
        <v>8</v>
      </c>
      <c r="C15">
        <v>8</v>
      </c>
      <c r="D15">
        <f>Table1104[[#This Row],[Measured Reps]]-Table1104[[#This Row],[True Reps]]</f>
        <v>0</v>
      </c>
      <c r="E15">
        <f>ABS(Table1104[[#This Row],[Error]])</f>
        <v>0</v>
      </c>
    </row>
    <row r="16" spans="1:11" x14ac:dyDescent="0.45">
      <c r="A16">
        <v>15</v>
      </c>
      <c r="B16">
        <v>8</v>
      </c>
      <c r="C16">
        <v>9</v>
      </c>
      <c r="D16">
        <f>Table1104[[#This Row],[Measured Reps]]-Table1104[[#This Row],[True Reps]]</f>
        <v>1</v>
      </c>
      <c r="E16">
        <f>ABS(Table1104[[#This Row],[Error]])</f>
        <v>1</v>
      </c>
    </row>
    <row r="17" spans="1:5" x14ac:dyDescent="0.45">
      <c r="A17">
        <v>16</v>
      </c>
      <c r="B17">
        <v>8</v>
      </c>
      <c r="C17">
        <v>8</v>
      </c>
      <c r="D17">
        <f>Table1104[[#This Row],[Measured Reps]]-Table1104[[#This Row],[True Reps]]</f>
        <v>0</v>
      </c>
      <c r="E17">
        <f>ABS(Table1104[[#This Row],[Error]])</f>
        <v>0</v>
      </c>
    </row>
    <row r="18" spans="1:5" x14ac:dyDescent="0.45">
      <c r="A18">
        <v>17</v>
      </c>
      <c r="B18">
        <v>6</v>
      </c>
      <c r="C18">
        <v>6</v>
      </c>
      <c r="D18">
        <f>Table1104[[#This Row],[Measured Reps]]-Table1104[[#This Row],[True Reps]]</f>
        <v>0</v>
      </c>
      <c r="E18">
        <f>ABS(Table1104[[#This Row],[Error]])</f>
        <v>0</v>
      </c>
    </row>
    <row r="19" spans="1:5" x14ac:dyDescent="0.45">
      <c r="A19">
        <v>18</v>
      </c>
      <c r="B19">
        <v>6</v>
      </c>
      <c r="C19">
        <v>7</v>
      </c>
      <c r="D19">
        <f>Table1104[[#This Row],[Measured Reps]]-Table1104[[#This Row],[True Reps]]</f>
        <v>1</v>
      </c>
      <c r="E19">
        <f>ABS(Table1104[[#This Row],[Error]])</f>
        <v>1</v>
      </c>
    </row>
    <row r="20" spans="1:5" x14ac:dyDescent="0.45">
      <c r="A20">
        <v>19</v>
      </c>
      <c r="B20">
        <v>6</v>
      </c>
      <c r="C20">
        <v>6</v>
      </c>
      <c r="D20">
        <f>Table1104[[#This Row],[Measured Reps]]-Table1104[[#This Row],[True Reps]]</f>
        <v>0</v>
      </c>
      <c r="E20">
        <f>ABS(Table1104[[#This Row],[Error]])</f>
        <v>0</v>
      </c>
    </row>
    <row r="21" spans="1:5" x14ac:dyDescent="0.45">
      <c r="A21">
        <v>20</v>
      </c>
      <c r="B21">
        <v>6</v>
      </c>
      <c r="C21">
        <v>6</v>
      </c>
      <c r="D21">
        <f>Table1104[[#This Row],[Measured Reps]]-Table1104[[#This Row],[True Reps]]</f>
        <v>0</v>
      </c>
      <c r="E21">
        <f>ABS(Table1104[[#This Row],[Error]])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AD2E-BE6F-4D62-953F-AD482714EE6B}">
  <dimension ref="A1:K21"/>
  <sheetViews>
    <sheetView workbookViewId="0">
      <selection activeCell="H5" sqref="H5"/>
    </sheetView>
  </sheetViews>
  <sheetFormatPr defaultRowHeight="14.25" x14ac:dyDescent="0.45"/>
  <cols>
    <col min="2" max="2" width="16.19921875" customWidth="1"/>
    <col min="3" max="3" width="17.53125" customWidth="1"/>
    <col min="4" max="4" width="14.33203125" customWidth="1"/>
    <col min="5" max="5" width="15.53125" customWidth="1"/>
    <col min="7" max="7" width="28.13281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>
        <f>AVERAGE(D2:D21)</f>
        <v>-0.05</v>
      </c>
      <c r="J1" t="s">
        <v>3</v>
      </c>
      <c r="K1" t="s">
        <v>22</v>
      </c>
    </row>
    <row r="2" spans="1:11" x14ac:dyDescent="0.45">
      <c r="A2">
        <v>1</v>
      </c>
      <c r="B2">
        <v>15</v>
      </c>
      <c r="C2">
        <v>15</v>
      </c>
      <c r="D2">
        <f>Table1105[[#This Row],[Measured Reps]]-Table1105[[#This Row],[True Reps]]</f>
        <v>0</v>
      </c>
      <c r="E2">
        <f>ABS(Table1105[[#This Row],[Error]])</f>
        <v>0</v>
      </c>
      <c r="G2" t="s">
        <v>6</v>
      </c>
      <c r="H2">
        <f>AVERAGE(E2:E21)</f>
        <v>0.05</v>
      </c>
      <c r="J2">
        <v>-2</v>
      </c>
      <c r="K2">
        <f t="shared" ref="K2:K6" si="0">COUNTIF($D$2:$D$21,J2)</f>
        <v>0</v>
      </c>
    </row>
    <row r="3" spans="1:11" x14ac:dyDescent="0.45">
      <c r="A3">
        <v>2</v>
      </c>
      <c r="B3">
        <v>15</v>
      </c>
      <c r="C3">
        <v>15</v>
      </c>
      <c r="D3">
        <f>Table1105[[#This Row],[Measured Reps]]-Table1105[[#This Row],[True Reps]]</f>
        <v>0</v>
      </c>
      <c r="E3">
        <f>ABS(Table1105[[#This Row],[Error]])</f>
        <v>0</v>
      </c>
      <c r="G3" t="s">
        <v>8</v>
      </c>
      <c r="H3">
        <f>_xlfn.STDEV.S(D2:D21)</f>
        <v>0.22360679774997896</v>
      </c>
      <c r="J3">
        <v>-1</v>
      </c>
      <c r="K3">
        <f t="shared" si="0"/>
        <v>1</v>
      </c>
    </row>
    <row r="4" spans="1:11" x14ac:dyDescent="0.45">
      <c r="A4">
        <v>3</v>
      </c>
      <c r="B4">
        <v>15</v>
      </c>
      <c r="C4">
        <v>15</v>
      </c>
      <c r="D4">
        <f>Table1105[[#This Row],[Measured Reps]]-Table1105[[#This Row],[True Reps]]</f>
        <v>0</v>
      </c>
      <c r="E4">
        <f>ABS(Table1105[[#This Row],[Error]])</f>
        <v>0</v>
      </c>
      <c r="G4" t="s">
        <v>10</v>
      </c>
      <c r="H4">
        <f>AVERAGE(B2:B21)</f>
        <v>10.199999999999999</v>
      </c>
      <c r="J4">
        <v>0</v>
      </c>
      <c r="K4">
        <f t="shared" si="0"/>
        <v>19</v>
      </c>
    </row>
    <row r="5" spans="1:11" x14ac:dyDescent="0.45">
      <c r="A5">
        <v>4</v>
      </c>
      <c r="B5">
        <v>15</v>
      </c>
      <c r="C5">
        <v>15</v>
      </c>
      <c r="D5">
        <f>Table1105[[#This Row],[Measured Reps]]-Table1105[[#This Row],[True Reps]]</f>
        <v>0</v>
      </c>
      <c r="E5">
        <f>ABS(Table1105[[#This Row],[Error]])</f>
        <v>0</v>
      </c>
      <c r="G5" t="s">
        <v>9</v>
      </c>
      <c r="H5" s="2">
        <f>1-(H2/H4)</f>
        <v>0.99509803921568629</v>
      </c>
      <c r="J5">
        <v>1</v>
      </c>
      <c r="K5">
        <f t="shared" si="0"/>
        <v>0</v>
      </c>
    </row>
    <row r="6" spans="1:11" x14ac:dyDescent="0.45">
      <c r="A6">
        <v>5</v>
      </c>
      <c r="B6">
        <v>12</v>
      </c>
      <c r="C6">
        <v>12</v>
      </c>
      <c r="D6">
        <f>Table1105[[#This Row],[Measured Reps]]-Table1105[[#This Row],[True Reps]]</f>
        <v>0</v>
      </c>
      <c r="E6">
        <f>ABS(Table1105[[#This Row],[Error]])</f>
        <v>0</v>
      </c>
      <c r="J6">
        <v>2</v>
      </c>
      <c r="K6">
        <f t="shared" si="0"/>
        <v>0</v>
      </c>
    </row>
    <row r="7" spans="1:11" x14ac:dyDescent="0.45">
      <c r="A7">
        <v>6</v>
      </c>
      <c r="B7">
        <v>12</v>
      </c>
      <c r="C7">
        <v>12</v>
      </c>
      <c r="D7">
        <f>Table1105[[#This Row],[Measured Reps]]-Table1105[[#This Row],[True Reps]]</f>
        <v>0</v>
      </c>
      <c r="E7">
        <f>ABS(Table1105[[#This Row],[Error]])</f>
        <v>0</v>
      </c>
    </row>
    <row r="8" spans="1:11" x14ac:dyDescent="0.45">
      <c r="A8">
        <v>7</v>
      </c>
      <c r="B8">
        <v>12</v>
      </c>
      <c r="C8">
        <v>12</v>
      </c>
      <c r="D8">
        <f>Table1105[[#This Row],[Measured Reps]]-Table1105[[#This Row],[True Reps]]</f>
        <v>0</v>
      </c>
      <c r="E8">
        <f>ABS(Table1105[[#This Row],[Error]])</f>
        <v>0</v>
      </c>
    </row>
    <row r="9" spans="1:11" x14ac:dyDescent="0.45">
      <c r="A9">
        <v>8</v>
      </c>
      <c r="B9">
        <v>12</v>
      </c>
      <c r="C9">
        <v>12</v>
      </c>
      <c r="D9">
        <f>Table1105[[#This Row],[Measured Reps]]-Table1105[[#This Row],[True Reps]]</f>
        <v>0</v>
      </c>
      <c r="E9">
        <f>ABS(Table1105[[#This Row],[Error]])</f>
        <v>0</v>
      </c>
    </row>
    <row r="10" spans="1:11" x14ac:dyDescent="0.45">
      <c r="A10">
        <v>9</v>
      </c>
      <c r="B10">
        <v>10</v>
      </c>
      <c r="C10">
        <v>10</v>
      </c>
      <c r="D10">
        <f>Table1105[[#This Row],[Measured Reps]]-Table1105[[#This Row],[True Reps]]</f>
        <v>0</v>
      </c>
      <c r="E10">
        <f>ABS(Table1105[[#This Row],[Error]])</f>
        <v>0</v>
      </c>
    </row>
    <row r="11" spans="1:11" x14ac:dyDescent="0.45">
      <c r="A11">
        <v>10</v>
      </c>
      <c r="B11">
        <v>10</v>
      </c>
      <c r="C11">
        <v>10</v>
      </c>
      <c r="D11">
        <f>Table1105[[#This Row],[Measured Reps]]-Table1105[[#This Row],[True Reps]]</f>
        <v>0</v>
      </c>
      <c r="E11">
        <f>ABS(Table1105[[#This Row],[Error]])</f>
        <v>0</v>
      </c>
    </row>
    <row r="12" spans="1:11" x14ac:dyDescent="0.45">
      <c r="A12">
        <v>11</v>
      </c>
      <c r="B12">
        <v>10</v>
      </c>
      <c r="C12">
        <v>10</v>
      </c>
      <c r="D12">
        <f>Table1105[[#This Row],[Measured Reps]]-Table1105[[#This Row],[True Reps]]</f>
        <v>0</v>
      </c>
      <c r="E12">
        <f>ABS(Table1105[[#This Row],[Error]])</f>
        <v>0</v>
      </c>
    </row>
    <row r="13" spans="1:11" x14ac:dyDescent="0.45">
      <c r="A13">
        <v>12</v>
      </c>
      <c r="B13">
        <v>10</v>
      </c>
      <c r="C13">
        <v>10</v>
      </c>
      <c r="D13">
        <f>Table1105[[#This Row],[Measured Reps]]-Table1105[[#This Row],[True Reps]]</f>
        <v>0</v>
      </c>
      <c r="E13">
        <f>ABS(Table1105[[#This Row],[Error]])</f>
        <v>0</v>
      </c>
    </row>
    <row r="14" spans="1:11" x14ac:dyDescent="0.45">
      <c r="A14">
        <v>13</v>
      </c>
      <c r="B14">
        <v>8</v>
      </c>
      <c r="C14">
        <v>7</v>
      </c>
      <c r="D14">
        <f>Table1105[[#This Row],[Measured Reps]]-Table1105[[#This Row],[True Reps]]</f>
        <v>-1</v>
      </c>
      <c r="E14">
        <f>ABS(Table1105[[#This Row],[Error]])</f>
        <v>1</v>
      </c>
    </row>
    <row r="15" spans="1:11" x14ac:dyDescent="0.45">
      <c r="A15">
        <v>14</v>
      </c>
      <c r="B15">
        <v>8</v>
      </c>
      <c r="C15">
        <v>8</v>
      </c>
      <c r="D15">
        <f>Table1105[[#This Row],[Measured Reps]]-Table1105[[#This Row],[True Reps]]</f>
        <v>0</v>
      </c>
      <c r="E15">
        <f>ABS(Table1105[[#This Row],[Error]])</f>
        <v>0</v>
      </c>
    </row>
    <row r="16" spans="1:11" x14ac:dyDescent="0.45">
      <c r="A16">
        <v>15</v>
      </c>
      <c r="B16">
        <v>8</v>
      </c>
      <c r="C16">
        <v>8</v>
      </c>
      <c r="D16">
        <f>Table1105[[#This Row],[Measured Reps]]-Table1105[[#This Row],[True Reps]]</f>
        <v>0</v>
      </c>
      <c r="E16">
        <f>ABS(Table1105[[#This Row],[Error]])</f>
        <v>0</v>
      </c>
    </row>
    <row r="17" spans="1:5" x14ac:dyDescent="0.45">
      <c r="A17">
        <v>16</v>
      </c>
      <c r="B17">
        <v>8</v>
      </c>
      <c r="C17">
        <v>8</v>
      </c>
      <c r="D17">
        <f>Table1105[[#This Row],[Measured Reps]]-Table1105[[#This Row],[True Reps]]</f>
        <v>0</v>
      </c>
      <c r="E17">
        <f>ABS(Table1105[[#This Row],[Error]])</f>
        <v>0</v>
      </c>
    </row>
    <row r="18" spans="1:5" x14ac:dyDescent="0.45">
      <c r="A18">
        <v>17</v>
      </c>
      <c r="B18">
        <v>6</v>
      </c>
      <c r="C18">
        <v>6</v>
      </c>
      <c r="D18">
        <f>Table1105[[#This Row],[Measured Reps]]-Table1105[[#This Row],[True Reps]]</f>
        <v>0</v>
      </c>
      <c r="E18">
        <f>ABS(Table1105[[#This Row],[Error]])</f>
        <v>0</v>
      </c>
    </row>
    <row r="19" spans="1:5" x14ac:dyDescent="0.45">
      <c r="A19">
        <v>18</v>
      </c>
      <c r="B19">
        <v>6</v>
      </c>
      <c r="C19">
        <v>6</v>
      </c>
      <c r="D19">
        <f>Table1105[[#This Row],[Measured Reps]]-Table1105[[#This Row],[True Reps]]</f>
        <v>0</v>
      </c>
      <c r="E19">
        <f>ABS(Table1105[[#This Row],[Error]])</f>
        <v>0</v>
      </c>
    </row>
    <row r="20" spans="1:5" x14ac:dyDescent="0.45">
      <c r="A20">
        <v>19</v>
      </c>
      <c r="B20">
        <v>6</v>
      </c>
      <c r="C20">
        <v>6</v>
      </c>
      <c r="D20">
        <f>Table1105[[#This Row],[Measured Reps]]-Table1105[[#This Row],[True Reps]]</f>
        <v>0</v>
      </c>
      <c r="E20">
        <f>ABS(Table1105[[#This Row],[Error]])</f>
        <v>0</v>
      </c>
    </row>
    <row r="21" spans="1:5" x14ac:dyDescent="0.45">
      <c r="A21">
        <v>20</v>
      </c>
      <c r="B21">
        <v>6</v>
      </c>
      <c r="C21">
        <v>6</v>
      </c>
      <c r="D21">
        <f>Table1105[[#This Row],[Measured Reps]]-Table1105[[#This Row],[True Reps]]</f>
        <v>0</v>
      </c>
      <c r="E21">
        <f>ABS(Table1105[[#This Row],[Error]])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6E2C-BE4C-461D-8E4F-C1BC1B9B3788}">
  <dimension ref="A1:K21"/>
  <sheetViews>
    <sheetView zoomScale="91" workbookViewId="0">
      <selection activeCell="H5" sqref="H5"/>
    </sheetView>
  </sheetViews>
  <sheetFormatPr defaultRowHeight="14.25" x14ac:dyDescent="0.45"/>
  <cols>
    <col min="1" max="1" width="15.6640625" customWidth="1"/>
    <col min="2" max="2" width="17.1328125" customWidth="1"/>
    <col min="3" max="3" width="18.53125" customWidth="1"/>
    <col min="4" max="4" width="16.46484375" customWidth="1"/>
    <col min="5" max="5" width="16.73046875" customWidth="1"/>
    <col min="7" max="7" width="25.19921875" customWidth="1"/>
    <col min="8" max="8" width="16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>
        <f>AVERAGE(D2:D21)</f>
        <v>0.45</v>
      </c>
      <c r="J1" t="s">
        <v>3</v>
      </c>
      <c r="K1" t="s">
        <v>22</v>
      </c>
    </row>
    <row r="2" spans="1:11" x14ac:dyDescent="0.45">
      <c r="A2">
        <v>1</v>
      </c>
      <c r="B2">
        <v>15</v>
      </c>
      <c r="C2">
        <v>16</v>
      </c>
      <c r="D2">
        <f>Table1106[[#This Row],[Measured Reps]]-Table1106[[#This Row],[True Reps]]</f>
        <v>1</v>
      </c>
      <c r="E2">
        <f>ABS(Table1106[[#This Row],[Error]])</f>
        <v>1</v>
      </c>
      <c r="G2" t="s">
        <v>6</v>
      </c>
      <c r="H2">
        <f>AVERAGE(E2:E21)</f>
        <v>0.75</v>
      </c>
      <c r="J2">
        <v>-2</v>
      </c>
      <c r="K2">
        <f t="shared" ref="K2:K6" si="0">COUNTIF($D$2:$D$21,J2)</f>
        <v>1</v>
      </c>
    </row>
    <row r="3" spans="1:11" x14ac:dyDescent="0.45">
      <c r="A3">
        <v>2</v>
      </c>
      <c r="B3">
        <v>15</v>
      </c>
      <c r="C3">
        <v>13</v>
      </c>
      <c r="D3">
        <f>Table1106[[#This Row],[Measured Reps]]-Table1106[[#This Row],[True Reps]]</f>
        <v>-2</v>
      </c>
      <c r="E3">
        <f>ABS(Table1106[[#This Row],[Error]])</f>
        <v>2</v>
      </c>
      <c r="G3" t="s">
        <v>8</v>
      </c>
      <c r="H3">
        <f>_xlfn.STDEV.S(D2:D21)</f>
        <v>0.8255779474818965</v>
      </c>
      <c r="J3">
        <v>-1</v>
      </c>
      <c r="K3">
        <f t="shared" si="0"/>
        <v>1</v>
      </c>
    </row>
    <row r="4" spans="1:11" x14ac:dyDescent="0.45">
      <c r="A4">
        <v>3</v>
      </c>
      <c r="B4">
        <v>15</v>
      </c>
      <c r="C4">
        <v>16</v>
      </c>
      <c r="D4">
        <f>Table1106[[#This Row],[Measured Reps]]-Table1106[[#This Row],[True Reps]]</f>
        <v>1</v>
      </c>
      <c r="E4">
        <f>ABS(Table1106[[#This Row],[Error]])</f>
        <v>1</v>
      </c>
      <c r="G4" t="s">
        <v>10</v>
      </c>
      <c r="H4">
        <f>AVERAGE(B2:B21)</f>
        <v>10.199999999999999</v>
      </c>
      <c r="J4">
        <v>0</v>
      </c>
      <c r="K4">
        <f t="shared" si="0"/>
        <v>6</v>
      </c>
    </row>
    <row r="5" spans="1:11" x14ac:dyDescent="0.45">
      <c r="A5">
        <v>4</v>
      </c>
      <c r="B5">
        <v>15</v>
      </c>
      <c r="C5">
        <v>16</v>
      </c>
      <c r="D5">
        <f>Table1106[[#This Row],[Measured Reps]]-Table1106[[#This Row],[True Reps]]</f>
        <v>1</v>
      </c>
      <c r="E5">
        <f>ABS(Table1106[[#This Row],[Error]])</f>
        <v>1</v>
      </c>
      <c r="G5" t="s">
        <v>9</v>
      </c>
      <c r="H5">
        <f>1-(H2/H4)</f>
        <v>0.92647058823529416</v>
      </c>
      <c r="J5">
        <v>1</v>
      </c>
      <c r="K5">
        <f t="shared" si="0"/>
        <v>12</v>
      </c>
    </row>
    <row r="6" spans="1:11" x14ac:dyDescent="0.45">
      <c r="A6">
        <v>5</v>
      </c>
      <c r="B6">
        <v>12</v>
      </c>
      <c r="C6">
        <v>12</v>
      </c>
      <c r="D6">
        <f>Table1106[[#This Row],[Measured Reps]]-Table1106[[#This Row],[True Reps]]</f>
        <v>0</v>
      </c>
      <c r="E6">
        <f>ABS(Table1106[[#This Row],[Error]])</f>
        <v>0</v>
      </c>
      <c r="H6" t="s">
        <v>21</v>
      </c>
      <c r="J6">
        <v>2</v>
      </c>
      <c r="K6">
        <f t="shared" si="0"/>
        <v>0</v>
      </c>
    </row>
    <row r="7" spans="1:11" x14ac:dyDescent="0.45">
      <c r="A7">
        <v>6</v>
      </c>
      <c r="B7">
        <v>12</v>
      </c>
      <c r="C7">
        <v>12</v>
      </c>
      <c r="D7">
        <f>Table1106[[#This Row],[Measured Reps]]-Table1106[[#This Row],[True Reps]]</f>
        <v>0</v>
      </c>
      <c r="E7">
        <f>ABS(Table1106[[#This Row],[Error]])</f>
        <v>0</v>
      </c>
    </row>
    <row r="8" spans="1:11" x14ac:dyDescent="0.45">
      <c r="A8">
        <v>7</v>
      </c>
      <c r="B8">
        <v>12</v>
      </c>
      <c r="C8">
        <v>12</v>
      </c>
      <c r="D8">
        <f>Table1106[[#This Row],[Measured Reps]]-Table1106[[#This Row],[True Reps]]</f>
        <v>0</v>
      </c>
      <c r="E8">
        <f>ABS(Table1106[[#This Row],[Error]])</f>
        <v>0</v>
      </c>
    </row>
    <row r="9" spans="1:11" x14ac:dyDescent="0.45">
      <c r="A9">
        <v>8</v>
      </c>
      <c r="B9">
        <v>12</v>
      </c>
      <c r="C9">
        <v>13</v>
      </c>
      <c r="D9">
        <f>Table1106[[#This Row],[Measured Reps]]-Table1106[[#This Row],[True Reps]]</f>
        <v>1</v>
      </c>
      <c r="E9">
        <f>ABS(Table1106[[#This Row],[Error]])</f>
        <v>1</v>
      </c>
    </row>
    <row r="10" spans="1:11" x14ac:dyDescent="0.45">
      <c r="A10">
        <v>9</v>
      </c>
      <c r="B10">
        <v>10</v>
      </c>
      <c r="C10">
        <v>11</v>
      </c>
      <c r="D10">
        <f>Table1106[[#This Row],[Measured Reps]]-Table1106[[#This Row],[True Reps]]</f>
        <v>1</v>
      </c>
      <c r="E10">
        <f>ABS(Table1106[[#This Row],[Error]])</f>
        <v>1</v>
      </c>
    </row>
    <row r="11" spans="1:11" x14ac:dyDescent="0.45">
      <c r="A11">
        <v>10</v>
      </c>
      <c r="B11">
        <v>10</v>
      </c>
      <c r="C11">
        <v>11</v>
      </c>
      <c r="D11">
        <f>Table1106[[#This Row],[Measured Reps]]-Table1106[[#This Row],[True Reps]]</f>
        <v>1</v>
      </c>
      <c r="E11">
        <f>ABS(Table1106[[#This Row],[Error]])</f>
        <v>1</v>
      </c>
    </row>
    <row r="12" spans="1:11" x14ac:dyDescent="0.45">
      <c r="A12">
        <v>11</v>
      </c>
      <c r="B12">
        <v>10</v>
      </c>
      <c r="C12">
        <v>9</v>
      </c>
      <c r="D12">
        <f>Table1106[[#This Row],[Measured Reps]]-Table1106[[#This Row],[True Reps]]</f>
        <v>-1</v>
      </c>
      <c r="E12">
        <f>ABS(Table1106[[#This Row],[Error]])</f>
        <v>1</v>
      </c>
    </row>
    <row r="13" spans="1:11" x14ac:dyDescent="0.45">
      <c r="A13">
        <v>12</v>
      </c>
      <c r="B13">
        <v>10</v>
      </c>
      <c r="C13">
        <v>11</v>
      </c>
      <c r="D13">
        <f>Table1106[[#This Row],[Measured Reps]]-Table1106[[#This Row],[True Reps]]</f>
        <v>1</v>
      </c>
      <c r="E13">
        <f>ABS(Table1106[[#This Row],[Error]])</f>
        <v>1</v>
      </c>
    </row>
    <row r="14" spans="1:11" x14ac:dyDescent="0.45">
      <c r="A14">
        <v>13</v>
      </c>
      <c r="B14">
        <v>8</v>
      </c>
      <c r="C14">
        <v>9</v>
      </c>
      <c r="D14">
        <f>Table1106[[#This Row],[Measured Reps]]-Table1106[[#This Row],[True Reps]]</f>
        <v>1</v>
      </c>
      <c r="E14">
        <f>ABS(Table1106[[#This Row],[Error]])</f>
        <v>1</v>
      </c>
    </row>
    <row r="15" spans="1:11" x14ac:dyDescent="0.45">
      <c r="A15">
        <v>14</v>
      </c>
      <c r="B15">
        <v>8</v>
      </c>
      <c r="C15">
        <v>8</v>
      </c>
      <c r="D15">
        <f>Table1106[[#This Row],[Measured Reps]]-Table1106[[#This Row],[True Reps]]</f>
        <v>0</v>
      </c>
      <c r="E15">
        <f>ABS(Table1106[[#This Row],[Error]])</f>
        <v>0</v>
      </c>
    </row>
    <row r="16" spans="1:11" x14ac:dyDescent="0.45">
      <c r="A16">
        <v>15</v>
      </c>
      <c r="B16">
        <v>8</v>
      </c>
      <c r="C16">
        <v>9</v>
      </c>
      <c r="D16">
        <f>Table1106[[#This Row],[Measured Reps]]-Table1106[[#This Row],[True Reps]]</f>
        <v>1</v>
      </c>
      <c r="E16">
        <f>ABS(Table1106[[#This Row],[Error]])</f>
        <v>1</v>
      </c>
    </row>
    <row r="17" spans="1:5" x14ac:dyDescent="0.45">
      <c r="A17">
        <v>16</v>
      </c>
      <c r="B17">
        <v>8</v>
      </c>
      <c r="C17">
        <v>9</v>
      </c>
      <c r="D17">
        <f>Table1106[[#This Row],[Measured Reps]]-Table1106[[#This Row],[True Reps]]</f>
        <v>1</v>
      </c>
      <c r="E17">
        <f>ABS(Table1106[[#This Row],[Error]])</f>
        <v>1</v>
      </c>
    </row>
    <row r="18" spans="1:5" x14ac:dyDescent="0.45">
      <c r="A18">
        <v>17</v>
      </c>
      <c r="B18">
        <v>6</v>
      </c>
      <c r="C18">
        <v>7</v>
      </c>
      <c r="D18">
        <f>Table1106[[#This Row],[Measured Reps]]-Table1106[[#This Row],[True Reps]]</f>
        <v>1</v>
      </c>
      <c r="E18">
        <f>ABS(Table1106[[#This Row],[Error]])</f>
        <v>1</v>
      </c>
    </row>
    <row r="19" spans="1:5" x14ac:dyDescent="0.45">
      <c r="A19">
        <v>18</v>
      </c>
      <c r="B19">
        <v>6</v>
      </c>
      <c r="C19">
        <v>6</v>
      </c>
      <c r="D19">
        <f>Table1106[[#This Row],[Measured Reps]]-Table1106[[#This Row],[True Reps]]</f>
        <v>0</v>
      </c>
      <c r="E19">
        <f>ABS(Table1106[[#This Row],[Error]])</f>
        <v>0</v>
      </c>
    </row>
    <row r="20" spans="1:5" x14ac:dyDescent="0.45">
      <c r="A20">
        <v>19</v>
      </c>
      <c r="B20">
        <v>6</v>
      </c>
      <c r="C20">
        <v>6</v>
      </c>
      <c r="D20">
        <f>Table1106[[#This Row],[Measured Reps]]-Table1106[[#This Row],[True Reps]]</f>
        <v>0</v>
      </c>
      <c r="E20">
        <f>ABS(Table1106[[#This Row],[Error]])</f>
        <v>0</v>
      </c>
    </row>
    <row r="21" spans="1:5" x14ac:dyDescent="0.45">
      <c r="A21">
        <v>20</v>
      </c>
      <c r="B21">
        <v>6</v>
      </c>
      <c r="C21">
        <v>7</v>
      </c>
      <c r="D21">
        <f>Table1106[[#This Row],[Measured Reps]]-Table1106[[#This Row],[True Reps]]</f>
        <v>1</v>
      </c>
      <c r="E21">
        <f>ABS(Table1106[[#This Row],[Error]])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82E7-9486-428F-AAD1-04AF2AA7D921}">
  <dimension ref="A1:K13"/>
  <sheetViews>
    <sheetView tabSelected="1" zoomScale="64" workbookViewId="0">
      <selection activeCell="K30" sqref="K30"/>
    </sheetView>
  </sheetViews>
  <sheetFormatPr defaultRowHeight="14.25" x14ac:dyDescent="0.45"/>
  <cols>
    <col min="1" max="1" width="27.33203125" customWidth="1"/>
    <col min="2" max="2" width="11.73046875" customWidth="1"/>
    <col min="3" max="3" width="19.9296875" customWidth="1"/>
    <col min="4" max="4" width="23.796875" customWidth="1"/>
    <col min="5" max="5" width="16.19921875" customWidth="1"/>
    <col min="6" max="6" width="15.6640625" customWidth="1"/>
    <col min="10" max="10" width="12.9296875" customWidth="1"/>
    <col min="11" max="11" width="21.796875" customWidth="1"/>
  </cols>
  <sheetData>
    <row r="1" spans="1:11" x14ac:dyDescent="0.45">
      <c r="A1" t="s">
        <v>11</v>
      </c>
      <c r="B1" t="s">
        <v>12</v>
      </c>
      <c r="C1" t="s">
        <v>13</v>
      </c>
      <c r="D1" t="s">
        <v>7</v>
      </c>
      <c r="E1" t="s">
        <v>14</v>
      </c>
      <c r="F1" t="s">
        <v>15</v>
      </c>
      <c r="J1" t="s">
        <v>3</v>
      </c>
      <c r="K1" t="s">
        <v>23</v>
      </c>
    </row>
    <row r="2" spans="1:11" x14ac:dyDescent="0.45">
      <c r="A2" t="s">
        <v>16</v>
      </c>
      <c r="B2">
        <f>'Bicep Curl'!H1</f>
        <v>0.05</v>
      </c>
      <c r="C2">
        <f>'Bicep Curl'!H2</f>
        <v>0.05</v>
      </c>
      <c r="D2">
        <f>'Bicep Curl'!H3</f>
        <v>0.22360679774997896</v>
      </c>
      <c r="E2">
        <f>'Bicep Curl'!H4</f>
        <v>10.199999999999999</v>
      </c>
      <c r="F2" s="2">
        <f>'Bicep Curl'!H5</f>
        <v>0.99509803921568629</v>
      </c>
      <c r="J2">
        <v>-2</v>
      </c>
      <c r="K2">
        <f>COUNTIF('Bicep Curl'!D2:D21,J2)+COUNTIF(Squats!D2:D21,J2)+COUNTIF('Shoulder Press'!D2:D21,J2)+COUNTIF('Bench Press'!D2:D21,J2)+COUNTIF('Jumping Jacks'!D2:D21,J2)</f>
        <v>1</v>
      </c>
    </row>
    <row r="3" spans="1:11" x14ac:dyDescent="0.45">
      <c r="A3" t="s">
        <v>17</v>
      </c>
      <c r="B3">
        <f>Squats!H1</f>
        <v>0.05</v>
      </c>
      <c r="C3">
        <f>Squats!H2</f>
        <v>0.05</v>
      </c>
      <c r="D3">
        <f>Squats!H3</f>
        <v>0.22360679774997896</v>
      </c>
      <c r="E3">
        <f>Squats!H4</f>
        <v>10.199999999999999</v>
      </c>
      <c r="F3" s="2">
        <f>Squats!H5</f>
        <v>0.99509803921568629</v>
      </c>
      <c r="J3">
        <v>-1</v>
      </c>
      <c r="K3">
        <f>COUNTIF('Bicep Curl'!D2:D21,J3)+COUNTIF(Squats!D2:D21,J3)+COUNTIF('Shoulder Press'!D2:D21,J3)+COUNTIF('Bench Press'!D2:D21,J3)+COUNTIF('Jumping Jacks'!D2:D21,J3)</f>
        <v>2</v>
      </c>
    </row>
    <row r="4" spans="1:11" x14ac:dyDescent="0.45">
      <c r="A4" t="s">
        <v>18</v>
      </c>
      <c r="B4">
        <f>'Shoulder Press'!H1</f>
        <v>0.2</v>
      </c>
      <c r="C4">
        <f>'Shoulder Press'!H2</f>
        <v>0.2</v>
      </c>
      <c r="D4">
        <f>'Shoulder Press'!H3</f>
        <v>0.41039134083406165</v>
      </c>
      <c r="E4">
        <f>'Shoulder Press'!H4</f>
        <v>10.199999999999999</v>
      </c>
      <c r="F4" s="2">
        <f>'Shoulder Press'!H5</f>
        <v>0.98039215686274506</v>
      </c>
      <c r="J4">
        <v>0</v>
      </c>
      <c r="K4">
        <f>COUNTIF('Bicep Curl'!D2:D21,J4)+COUNTIF(Squats!D2:D21,J4)+COUNTIF('Shoulder Press'!D2:D21,J4)+COUNTIF('Bench Press'!D2:D21,J4)+COUNTIF('Jumping Jacks'!D2:D21,J4)</f>
        <v>79</v>
      </c>
    </row>
    <row r="5" spans="1:11" x14ac:dyDescent="0.45">
      <c r="A5" t="s">
        <v>19</v>
      </c>
      <c r="B5">
        <f>'Bench Press'!H1</f>
        <v>-0.05</v>
      </c>
      <c r="C5">
        <f>'Bench Press'!H2</f>
        <v>0.05</v>
      </c>
      <c r="D5">
        <f>'Bench Press'!H3</f>
        <v>0.22360679774997896</v>
      </c>
      <c r="E5">
        <f>'Bench Press'!H4</f>
        <v>10.199999999999999</v>
      </c>
      <c r="F5" s="2">
        <f>'Bench Press'!H5</f>
        <v>0.99509803921568629</v>
      </c>
      <c r="J5">
        <v>1</v>
      </c>
      <c r="K5">
        <f>COUNTIF('Bicep Curl'!D2:D21,J5)+COUNTIF(Squats!D2:D21,J5)+COUNTIF('Shoulder Press'!D2:D21,J5)+COUNTIF('Bench Press'!D2:D21,J5)+COUNTIF('Jumping Jacks'!D2:D21,J5)</f>
        <v>18</v>
      </c>
    </row>
    <row r="6" spans="1:11" x14ac:dyDescent="0.45">
      <c r="A6" t="s">
        <v>20</v>
      </c>
      <c r="B6">
        <f>'Jumping Jacks'!H1</f>
        <v>0.45</v>
      </c>
      <c r="C6" s="1">
        <f>'Jumping Jacks'!H2</f>
        <v>0.75</v>
      </c>
      <c r="D6">
        <f>'Jumping Jacks'!H3</f>
        <v>0.8255779474818965</v>
      </c>
      <c r="E6">
        <f>'Jumping Jacks'!H4</f>
        <v>10.199999999999999</v>
      </c>
      <c r="F6" s="2">
        <f>'Jumping Jacks'!H5</f>
        <v>0.92647058823529416</v>
      </c>
      <c r="J6">
        <v>2</v>
      </c>
      <c r="K6">
        <f>COUNTIF('Bicep Curl'!D2:D21,J6)+COUNTIF(Squats!D2:D21,J6)+COUNTIF('Shoulder Press'!D2:D21,J6)+COUNTIF('Bench Press'!D2:D21,J6)+COUNTIF('Jumping Jacks'!D2:D21,J6)</f>
        <v>0</v>
      </c>
    </row>
    <row r="7" spans="1:11" x14ac:dyDescent="0.45">
      <c r="C7" s="1"/>
      <c r="F7" s="2"/>
    </row>
    <row r="8" spans="1:11" x14ac:dyDescent="0.45">
      <c r="A8" t="s">
        <v>24</v>
      </c>
    </row>
    <row r="9" spans="1:11" x14ac:dyDescent="0.45">
      <c r="A9" t="s">
        <v>25</v>
      </c>
      <c r="B9">
        <f>AVERAGE('Bicep Curl'!D2:D21,'Bench Press'!D2:D21,Squats!D2:D21,'Shoulder Press'!D2:D21,,'Jumping Jacks'!D2:D21)</f>
        <v>0.13861386138613863</v>
      </c>
    </row>
    <row r="10" spans="1:11" x14ac:dyDescent="0.45">
      <c r="A10" t="s">
        <v>26</v>
      </c>
      <c r="B10">
        <f>AVERAGE('Bicep Curl'!E2:E21,'Bench Press'!E2:E21,Squats!E2:E21,'Shoulder Press'!E2:E21,'Jumping Jacks'!E2:E21)</f>
        <v>0.22</v>
      </c>
    </row>
    <row r="11" spans="1:11" x14ac:dyDescent="0.45">
      <c r="A11" t="s">
        <v>8</v>
      </c>
      <c r="B11">
        <f>_xlfn.STDEV.S('Bicep Curl'!D2:D21,'Bench Press'!D2:D21,Squats!D2:D21,'Shoulder Press'!D2:D21,'Jumping Jacks'!D2:D21)</f>
        <v>0.47183287573701627</v>
      </c>
    </row>
    <row r="12" spans="1:11" x14ac:dyDescent="0.45">
      <c r="A12" t="s">
        <v>27</v>
      </c>
      <c r="B12">
        <f>AVERAGE('Bicep Curl'!B2:B21,'Bench Press'!B2:B21,Squats!B2:B21,'Shoulder Press'!B2:B21,'Jumping Jacks'!B2:B21)</f>
        <v>10.199999999999999</v>
      </c>
    </row>
    <row r="13" spans="1:11" x14ac:dyDescent="0.45">
      <c r="A13" t="s">
        <v>28</v>
      </c>
      <c r="B13" s="2">
        <f>1-(B10/B12)</f>
        <v>0.97843137254901957</v>
      </c>
    </row>
  </sheetData>
  <pageMargins left="0.7" right="0.7" top="0.75" bottom="0.75" header="0.3" footer="0.3"/>
  <ignoredErrors>
    <ignoredError sqref="K3:K6" calculatedColumn="1"/>
  </ignoredErrors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Bicep Curl</vt:lpstr>
      <vt:lpstr>Squats</vt:lpstr>
      <vt:lpstr>Shoulder Press</vt:lpstr>
      <vt:lpstr>Bench Press</vt:lpstr>
      <vt:lpstr>Jumping Jacks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Hazlan</dc:creator>
  <cp:lastModifiedBy>Irfan Hazlan</cp:lastModifiedBy>
  <dcterms:created xsi:type="dcterms:W3CDTF">2026-04-23T15:19:10Z</dcterms:created>
  <dcterms:modified xsi:type="dcterms:W3CDTF">2026-04-28T13:38:59Z</dcterms:modified>
</cp:coreProperties>
</file>